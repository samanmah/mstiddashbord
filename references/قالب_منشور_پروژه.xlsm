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-majid\Desktop\TI\پروژه های تابلو استراتژیک فولاد مبارکه\MSTID-V2\9-Innovation NEXUS\SGO\"/>
    </mc:Choice>
  </mc:AlternateContent>
  <xr:revisionPtr revIDLastSave="0" documentId="13_ncr:1_{49088357-2DA3-4776-8CDF-88E17AC93CF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اطلاعات پروژه" sheetId="1" r:id="rId1"/>
    <sheet name="پیشرفت ماهیانه" sheetId="3" r:id="rId2"/>
    <sheet name="فعالیت‌ها" sheetId="4" r:id="rId3"/>
    <sheet name="ریسک‌ها" sheetId="5" r:id="rId4"/>
    <sheet name="تصمیمات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3" l="1"/>
  <c r="D7" i="3"/>
  <c r="D8" i="3"/>
  <c r="D9" i="3"/>
  <c r="D10" i="3"/>
  <c r="D11" i="3"/>
  <c r="D12" i="3"/>
  <c r="D13" i="3"/>
  <c r="D14" i="3"/>
  <c r="D15" i="3"/>
  <c r="D16" i="3"/>
  <c r="D17" i="3"/>
  <c r="D5" i="3"/>
  <c r="D4" i="3"/>
  <c r="H8" i="4"/>
  <c r="H7" i="4"/>
  <c r="H6" i="4"/>
  <c r="H5" i="4"/>
  <c r="H4" i="4"/>
  <c r="F11" i="4"/>
  <c r="B12" i="1" s="1"/>
  <c r="G11" i="4"/>
  <c r="B13" i="1" s="1"/>
</calcChain>
</file>

<file path=xl/sharedStrings.xml><?xml version="1.0" encoding="utf-8"?>
<sst xmlns="http://schemas.openxmlformats.org/spreadsheetml/2006/main" count="100" uniqueCount="88">
  <si>
    <t>عنوان</t>
  </si>
  <si>
    <t>مقدار</t>
  </si>
  <si>
    <t>نام پروژه</t>
  </si>
  <si>
    <t>کد پروژه</t>
  </si>
  <si>
    <t>مسئول پروژه</t>
  </si>
  <si>
    <t>بودجه مصوب (میلیارد ریال)</t>
  </si>
  <si>
    <t>تاریخ شروع</t>
  </si>
  <si>
    <t>تاریخ پایان برنامه‌ای</t>
  </si>
  <si>
    <t>آخرین به‌روزرسانی</t>
  </si>
  <si>
    <t>پیشرفت برنامه‌ای کل (%)</t>
  </si>
  <si>
    <t>پیشرفت واقعی کل (%)</t>
  </si>
  <si>
    <t>شرح پروژه</t>
  </si>
  <si>
    <t>وضعیت</t>
  </si>
  <si>
    <t>متوسط</t>
  </si>
  <si>
    <t>ماه</t>
  </si>
  <si>
    <t>برنامه (%)</t>
  </si>
  <si>
    <t>واقعی (%)</t>
  </si>
  <si>
    <t>انحراف (%)</t>
  </si>
  <si>
    <t>راهنما: ستون «انحراف» = واقعی منهای برنامه. می‌توانید خودتان وارد کنید یا خالی بگذارید تا محاسبه شود.</t>
  </si>
  <si>
    <t>ردیف</t>
  </si>
  <si>
    <t>فعالیت</t>
  </si>
  <si>
    <t>وزن (%)</t>
  </si>
  <si>
    <t>تاریخ پایان</t>
  </si>
  <si>
    <t>1405/06/31</t>
  </si>
  <si>
    <t>ریسک / چالش</t>
  </si>
  <si>
    <t>احتمال</t>
  </si>
  <si>
    <t>سطح ریسک</t>
  </si>
  <si>
    <t>اقدام / برنامه مقابله</t>
  </si>
  <si>
    <t>مسئول</t>
  </si>
  <si>
    <t>موضوع دستور</t>
  </si>
  <si>
    <t>شرح دستور</t>
  </si>
  <si>
    <t>مهلت اجرا</t>
  </si>
  <si>
    <t>1405/04/01</t>
  </si>
  <si>
    <t>جذب منابع مالی مورد نیاز</t>
  </si>
  <si>
    <t xml:space="preserve"> اطلاعات کلی پروژه</t>
  </si>
  <si>
    <t xml:space="preserve"> وضعیت پیشرفت فعالیت‌ها</t>
  </si>
  <si>
    <t xml:space="preserve"> چالش‌ها و ریسک‌های بحرانی</t>
  </si>
  <si>
    <t>پیشرفت واقعی(%)</t>
  </si>
  <si>
    <t>پیشرفت برنامه‌ای(%)</t>
  </si>
  <si>
    <t>نام شاخص اثربخشی</t>
  </si>
  <si>
    <t>مقدار برنامه‌ای شاخص</t>
  </si>
  <si>
    <t>مقدار واقعی شاخص</t>
  </si>
  <si>
    <t>نوع پروژه</t>
  </si>
  <si>
    <t>استراتژیک</t>
  </si>
  <si>
    <t>بالا</t>
  </si>
  <si>
    <t>جدید</t>
  </si>
  <si>
    <t>راهنما: «وضعیت» یکی از: جدید / در حال اجرا / در انتظار گزارش / انجام شد/سایر</t>
  </si>
  <si>
    <t>در حال اجرا</t>
  </si>
  <si>
    <t>انجام شد</t>
  </si>
  <si>
    <t>راهنما: «وضعیت» یکی از: خوب / متوسط / ضعیف / نامشخص است که خودکار با توجه به پیشرفت پروژه محاسبه می شود. مجموع ستون «وزن» باید ۱۰۰ شود.</t>
  </si>
  <si>
    <t xml:space="preserve"> روند پیشرفت ماهیانه پروژه</t>
  </si>
  <si>
    <t>تصمیمات جلسات گذشته</t>
  </si>
  <si>
    <t>راهنما: فقط ستون «مقدار» را به‌روز کنید. مقادیر عددی را بدون متن و علامت درصد وارد کنید.</t>
  </si>
  <si>
    <t>راهنما: «سطح ریسک» یکی از:  بالا / متوسط / پایین</t>
  </si>
  <si>
    <t>تاسیس پارک تخصصی فناوری و نوآوری فولاد مبارکه (فاز اول)
Innovation NEXUS</t>
  </si>
  <si>
    <t>MSTID</t>
  </si>
  <si>
    <t>1406/06/01</t>
  </si>
  <si>
    <t>1405/03/23</t>
  </si>
  <si>
    <t>تعداد زیرساخت‌ها، تعداد پایلوت‌های منتقل شده</t>
  </si>
  <si>
    <t>ایجاد زیرساخت Innovation Nexus در راستای پیوند ظرفیت های داخلی و بین المللی با هدف تکنولوژی محور شدن گروه فولاد مبارکه</t>
  </si>
  <si>
    <t>تیر (1405)</t>
  </si>
  <si>
    <t>مرداد (1405)</t>
  </si>
  <si>
    <t>شهریور (1405)</t>
  </si>
  <si>
    <t>مهر (1405)</t>
  </si>
  <si>
    <t>آبان (1405)</t>
  </si>
  <si>
    <t>آذر (1405)</t>
  </si>
  <si>
    <t>دی (1405)</t>
  </si>
  <si>
    <t>بهمن (1405)</t>
  </si>
  <si>
    <t>اسفند (1405)</t>
  </si>
  <si>
    <t>فروردین (1406)</t>
  </si>
  <si>
    <t>اردیبهشت (1406)</t>
  </si>
  <si>
    <t>خرداد (1406)</t>
  </si>
  <si>
    <t>تیر (1406)</t>
  </si>
  <si>
    <t>مرداد (1406)</t>
  </si>
  <si>
    <t>مطالعات اولیه و بررسی نمونه های  مشابه</t>
  </si>
  <si>
    <t>طراحی مفهومی اولیه</t>
  </si>
  <si>
    <t>طراحی Detail و عقد قرارداد ساخت</t>
  </si>
  <si>
    <t>راه اندازی فاز اول ساختمان</t>
  </si>
  <si>
    <t>انتقال پایلوت ها به مرکز</t>
  </si>
  <si>
    <t>1405/07/01</t>
  </si>
  <si>
    <t>1405/11/30</t>
  </si>
  <si>
    <t>1405/10/30</t>
  </si>
  <si>
    <t>1406/03/31</t>
  </si>
  <si>
    <t>1406/04/01</t>
  </si>
  <si>
    <t>1406/05/31</t>
  </si>
  <si>
    <t xml:space="preserve">پیگیری جهت جذب منابع </t>
  </si>
  <si>
    <t>دریافت مجوزهای لازم</t>
  </si>
  <si>
    <t>پیگیری دریافت مجوزهای لازم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</si>
</sst>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3"/>
      <color rgb="FF1F3864"/>
      <name val="Tahoma"/>
    </font>
    <font>
      <b/>
      <sz val="11"/>
      <color rgb="FFFFFFFF"/>
      <name val="Tahoma"/>
    </font>
    <font>
      <sz val="10"/>
      <color rgb="FF1A1A1A"/>
      <name val="Tahoma"/>
    </font>
    <font>
      <sz val="10"/>
      <color rgb="FF1A1A1A"/>
      <name val="Tahoma"/>
      <family val="2"/>
    </font>
    <font>
      <b/>
      <i/>
      <sz val="10"/>
      <color rgb="FF8A6D00"/>
      <name val="Tahoma"/>
      <family val="2"/>
    </font>
    <font>
      <b/>
      <sz val="10"/>
      <color theme="1"/>
      <name val="Calibri"/>
      <family val="2"/>
      <scheme val="minor"/>
    </font>
    <font>
      <b/>
      <sz val="12"/>
      <color rgb="FF000000"/>
      <name val="B Mitra"/>
      <charset val="178"/>
    </font>
    <font>
      <b/>
      <sz val="11"/>
      <color rgb="FF000000"/>
      <name val="B Mitra"/>
      <charset val="178"/>
    </font>
    <font>
      <b/>
      <sz val="10"/>
      <color rgb="FF000000"/>
      <name val="B Mitra"/>
      <charset val="178"/>
    </font>
    <font>
      <b/>
      <sz val="10"/>
      <color rgb="FF1A1A1A"/>
      <name val="B Mitra"/>
      <charset val="178"/>
    </font>
  </fonts>
  <fills count="6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EAF0F8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BFC9DA"/>
      </left>
      <right style="thin">
        <color rgb="FFBFC9DA"/>
      </right>
      <top style="thin">
        <color rgb="FFBFC9DA"/>
      </top>
      <bottom style="thin">
        <color rgb="FFBFC9DA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righ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righ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right" vertical="center" wrapText="1"/>
    </xf>
    <xf numFmtId="0" fontId="4" fillId="3" borderId="1" xfId="0" applyFont="1" applyFill="1" applyBorder="1" applyAlignment="1">
      <alignment horizontal="right" vertical="center" wrapText="1"/>
    </xf>
    <xf numFmtId="0" fontId="7" fillId="0" borderId="0" xfId="0" applyFont="1" applyAlignment="1">
      <alignment horizontal="center" vertical="center" wrapText="1" readingOrder="2"/>
    </xf>
    <xf numFmtId="0" fontId="8" fillId="0" borderId="0" xfId="0" applyFont="1" applyAlignment="1">
      <alignment horizontal="center" vertical="center" readingOrder="2"/>
    </xf>
    <xf numFmtId="0" fontId="4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right" vertical="center" readingOrder="2"/>
    </xf>
    <xf numFmtId="0" fontId="10" fillId="3" borderId="1" xfId="0" applyFont="1" applyFill="1" applyBorder="1" applyAlignment="1">
      <alignment horizontal="right" vertical="center" wrapText="1"/>
    </xf>
    <xf numFmtId="0" fontId="1" fillId="4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wrapText="1"/>
    </xf>
    <xf numFmtId="0" fontId="6" fillId="5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236220</xdr:colOff>
      <xdr:row>3</xdr:row>
      <xdr:rowOff>22860</xdr:rowOff>
    </xdr:from>
    <xdr:to>
      <xdr:col>5</xdr:col>
      <xdr:colOff>22860</xdr:colOff>
      <xdr:row>6</xdr:row>
      <xdr:rowOff>9525</xdr:rowOff>
    </xdr:to>
    <xdr:pic macro="[0]!Sheet1.RunProgram">
      <xdr:nvPicPr>
        <xdr:cNvPr id="3" name="Picture 2" descr="Start - Free music and multimedia icons">
          <a:extLst>
            <a:ext uri="{FF2B5EF4-FFF2-40B4-BE49-F238E27FC236}">
              <a16:creationId xmlns:a16="http://schemas.microsoft.com/office/drawing/2014/main" id="{C4B5648F-34E4-8A63-BA57-BA054AE7C43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620" b="89933" l="895" r="97763">
                      <a14:foregroundMark x1="8501" y1="43400" x2="6935" y2="47875"/>
                      <a14:foregroundMark x1="895" y1="50336" x2="4474" y2="53468"/>
                      <a14:foregroundMark x1="90157" y1="34452" x2="94183" y2="46532"/>
                      <a14:foregroundMark x1="97763" y1="48770" x2="95749" y2="52573"/>
                      <a14:foregroundMark x1="74944" y1="42729" x2="74944" y2="42729"/>
                      <a14:foregroundMark x1="66890" y1="48098" x2="66890" y2="48098"/>
                      <a14:foregroundMark x1="52125" y1="49664" x2="52125" y2="49664"/>
                      <a14:foregroundMark x1="37584" y1="46532" x2="37584" y2="46532"/>
                      <a14:foregroundMark x1="23714" y1="43848" x2="23714" y2="4384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2307" b="21154"/>
        <a:stretch>
          <a:fillRect/>
        </a:stretch>
      </xdr:blipFill>
      <xdr:spPr bwMode="auto">
        <a:xfrm>
          <a:off x="10983079380" y="906780"/>
          <a:ext cx="1798320" cy="1120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9"/>
  <sheetViews>
    <sheetView rightToLeft="1" tabSelected="1" workbookViewId="0">
      <selection activeCell="B6" sqref="B6"/>
    </sheetView>
  </sheetViews>
  <sheetFormatPr defaultRowHeight="15" x14ac:dyDescent="0.25"/>
  <cols>
    <col min="1" max="1" width="32" customWidth="1"/>
    <col min="2" max="2" width="55" customWidth="1"/>
  </cols>
  <sheetData>
    <row r="1" spans="1:2" ht="26.1" customHeight="1" x14ac:dyDescent="0.25">
      <c r="A1" s="14" t="s">
        <v>34</v>
      </c>
      <c r="B1" s="14"/>
    </row>
    <row r="3" spans="1:2" ht="30" customHeight="1" x14ac:dyDescent="0.25">
      <c r="A3" s="1" t="s">
        <v>0</v>
      </c>
      <c r="B3" s="1" t="s">
        <v>1</v>
      </c>
    </row>
    <row r="4" spans="1:2" ht="41.25" customHeight="1" x14ac:dyDescent="0.25">
      <c r="A4" s="2" t="s">
        <v>2</v>
      </c>
      <c r="B4" s="8" t="s">
        <v>54</v>
      </c>
    </row>
    <row r="5" spans="1:2" ht="24" customHeight="1" x14ac:dyDescent="0.25">
      <c r="A5" s="4" t="s">
        <v>3</v>
      </c>
      <c r="B5" s="5"/>
    </row>
    <row r="6" spans="1:2" ht="24" customHeight="1" x14ac:dyDescent="0.25">
      <c r="A6" s="2" t="s">
        <v>4</v>
      </c>
      <c r="B6" s="9" t="s">
        <v>55</v>
      </c>
    </row>
    <row r="7" spans="1:2" ht="24" customHeight="1" x14ac:dyDescent="0.25">
      <c r="A7" s="4" t="s">
        <v>42</v>
      </c>
      <c r="B7" s="5" t="s">
        <v>43</v>
      </c>
    </row>
    <row r="8" spans="1:2" ht="24" customHeight="1" x14ac:dyDescent="0.25">
      <c r="A8" s="2" t="s">
        <v>5</v>
      </c>
      <c r="B8" s="3">
        <v>10000</v>
      </c>
    </row>
    <row r="9" spans="1:2" ht="24" customHeight="1" x14ac:dyDescent="0.25">
      <c r="A9" s="4" t="s">
        <v>6</v>
      </c>
      <c r="B9" s="10" t="s">
        <v>32</v>
      </c>
    </row>
    <row r="10" spans="1:2" ht="24" customHeight="1" x14ac:dyDescent="0.25">
      <c r="A10" s="2" t="s">
        <v>7</v>
      </c>
      <c r="B10" s="11" t="s">
        <v>56</v>
      </c>
    </row>
    <row r="11" spans="1:2" ht="24" customHeight="1" x14ac:dyDescent="0.25">
      <c r="A11" s="4" t="s">
        <v>8</v>
      </c>
      <c r="B11" s="10" t="s">
        <v>57</v>
      </c>
    </row>
    <row r="12" spans="1:2" ht="24" customHeight="1" x14ac:dyDescent="0.25">
      <c r="A12" s="2" t="s">
        <v>9</v>
      </c>
      <c r="B12" s="3">
        <f>SUMPRODUCT(فعالیت‌ها!F11)</f>
        <v>35</v>
      </c>
    </row>
    <row r="13" spans="1:2" ht="24" customHeight="1" x14ac:dyDescent="0.25">
      <c r="A13" s="4" t="s">
        <v>10</v>
      </c>
      <c r="B13" s="5">
        <f>فعالیت‌ها!G11</f>
        <v>35</v>
      </c>
    </row>
    <row r="14" spans="1:2" ht="24" customHeight="1" x14ac:dyDescent="0.25">
      <c r="A14" s="2" t="s">
        <v>39</v>
      </c>
      <c r="B14" s="3" t="s">
        <v>58</v>
      </c>
    </row>
    <row r="15" spans="1:2" ht="24" customHeight="1" x14ac:dyDescent="0.25">
      <c r="A15" s="4" t="s">
        <v>40</v>
      </c>
      <c r="B15" s="5">
        <v>2</v>
      </c>
    </row>
    <row r="16" spans="1:2" ht="24" customHeight="1" x14ac:dyDescent="0.25">
      <c r="A16" s="2" t="s">
        <v>41</v>
      </c>
      <c r="B16" s="3">
        <v>0</v>
      </c>
    </row>
    <row r="17" spans="1:2" ht="33" customHeight="1" x14ac:dyDescent="0.25">
      <c r="A17" s="4" t="s">
        <v>11</v>
      </c>
      <c r="B17" s="5" t="s">
        <v>59</v>
      </c>
    </row>
    <row r="19" spans="1:2" x14ac:dyDescent="0.25">
      <c r="A19" s="15" t="s">
        <v>52</v>
      </c>
      <c r="B19" s="16"/>
    </row>
  </sheetData>
  <mergeCells count="2">
    <mergeCell ref="A1:B1"/>
    <mergeCell ref="A19:B19"/>
  </mergeCells>
  <dataValidations count="1">
    <dataValidation type="list" allowBlank="1" showInputMessage="1" showErrorMessage="1" sqref="B7" xr:uid="{00000000-0002-0000-0000-000000000000}">
      <formula1>"استراتژیک,افزایش درآمد,کاهش هزینه,بازسازی,نوسازی,"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19"/>
  <sheetViews>
    <sheetView rightToLeft="1" zoomScale="130" zoomScaleNormal="130" workbookViewId="0">
      <selection activeCell="C6" sqref="C6"/>
    </sheetView>
  </sheetViews>
  <sheetFormatPr defaultRowHeight="15" x14ac:dyDescent="0.25"/>
  <cols>
    <col min="1" max="1" width="16" customWidth="1"/>
    <col min="2" max="4" width="14" customWidth="1"/>
  </cols>
  <sheetData>
    <row r="1" spans="1:4" ht="26.1" customHeight="1" x14ac:dyDescent="0.25">
      <c r="A1" s="14" t="s">
        <v>50</v>
      </c>
      <c r="B1" s="14"/>
      <c r="C1" s="14"/>
      <c r="D1" s="14"/>
    </row>
    <row r="3" spans="1:4" ht="30" customHeight="1" x14ac:dyDescent="0.25">
      <c r="A3" s="1" t="s">
        <v>14</v>
      </c>
      <c r="B3" s="1" t="s">
        <v>15</v>
      </c>
      <c r="C3" s="1" t="s">
        <v>16</v>
      </c>
      <c r="D3" s="1" t="s">
        <v>17</v>
      </c>
    </row>
    <row r="4" spans="1:4" ht="24" customHeight="1" x14ac:dyDescent="0.25">
      <c r="A4" s="4" t="s">
        <v>60</v>
      </c>
      <c r="B4" s="5">
        <v>5</v>
      </c>
      <c r="C4" s="5"/>
      <c r="D4" s="5">
        <f t="shared" ref="D4:D17" si="0">C4-B4</f>
        <v>-5</v>
      </c>
    </row>
    <row r="5" spans="1:4" ht="24" customHeight="1" x14ac:dyDescent="0.25">
      <c r="A5" s="2" t="s">
        <v>61</v>
      </c>
      <c r="B5" s="3">
        <v>15</v>
      </c>
      <c r="C5" s="3"/>
      <c r="D5" s="3">
        <f t="shared" si="0"/>
        <v>-15</v>
      </c>
    </row>
    <row r="6" spans="1:4" ht="24" customHeight="1" x14ac:dyDescent="0.25">
      <c r="A6" s="4" t="s">
        <v>62</v>
      </c>
      <c r="B6" s="5">
        <v>20</v>
      </c>
      <c r="C6" s="5"/>
      <c r="D6" s="5">
        <f t="shared" si="0"/>
        <v>-20</v>
      </c>
    </row>
    <row r="7" spans="1:4" ht="24" customHeight="1" x14ac:dyDescent="0.25">
      <c r="A7" s="6" t="s">
        <v>63</v>
      </c>
      <c r="B7" s="3">
        <v>30</v>
      </c>
      <c r="C7" s="3"/>
      <c r="D7" s="3">
        <f t="shared" si="0"/>
        <v>-30</v>
      </c>
    </row>
    <row r="8" spans="1:4" ht="24" customHeight="1" x14ac:dyDescent="0.25">
      <c r="A8" s="7" t="s">
        <v>64</v>
      </c>
      <c r="B8" s="5">
        <v>35</v>
      </c>
      <c r="C8" s="5"/>
      <c r="D8" s="5">
        <f t="shared" si="0"/>
        <v>-35</v>
      </c>
    </row>
    <row r="9" spans="1:4" ht="24" customHeight="1" x14ac:dyDescent="0.25">
      <c r="A9" s="6" t="s">
        <v>65</v>
      </c>
      <c r="B9" s="3">
        <v>40</v>
      </c>
      <c r="C9" s="3"/>
      <c r="D9" s="3">
        <f t="shared" si="0"/>
        <v>-40</v>
      </c>
    </row>
    <row r="10" spans="1:4" ht="24" customHeight="1" x14ac:dyDescent="0.25">
      <c r="A10" s="7" t="s">
        <v>66</v>
      </c>
      <c r="B10" s="5">
        <v>45</v>
      </c>
      <c r="C10" s="5"/>
      <c r="D10" s="5">
        <f t="shared" si="0"/>
        <v>-45</v>
      </c>
    </row>
    <row r="11" spans="1:4" ht="24" customHeight="1" x14ac:dyDescent="0.25">
      <c r="A11" s="6" t="s">
        <v>67</v>
      </c>
      <c r="B11" s="3">
        <v>50</v>
      </c>
      <c r="C11" s="3"/>
      <c r="D11" s="3">
        <f t="shared" si="0"/>
        <v>-50</v>
      </c>
    </row>
    <row r="12" spans="1:4" ht="24" customHeight="1" x14ac:dyDescent="0.25">
      <c r="A12" s="7" t="s">
        <v>68</v>
      </c>
      <c r="B12" s="5">
        <v>52</v>
      </c>
      <c r="C12" s="5"/>
      <c r="D12" s="5">
        <f t="shared" si="0"/>
        <v>-52</v>
      </c>
    </row>
    <row r="13" spans="1:4" ht="24" customHeight="1" x14ac:dyDescent="0.25">
      <c r="A13" s="2" t="s">
        <v>69</v>
      </c>
      <c r="B13" s="3">
        <v>55</v>
      </c>
      <c r="C13" s="3"/>
      <c r="D13" s="3">
        <f t="shared" si="0"/>
        <v>-55</v>
      </c>
    </row>
    <row r="14" spans="1:4" ht="24" customHeight="1" x14ac:dyDescent="0.25">
      <c r="A14" s="4" t="s">
        <v>70</v>
      </c>
      <c r="B14" s="5">
        <v>70</v>
      </c>
      <c r="C14" s="5"/>
      <c r="D14" s="5">
        <f t="shared" si="0"/>
        <v>-70</v>
      </c>
    </row>
    <row r="15" spans="1:4" ht="24" customHeight="1" x14ac:dyDescent="0.25">
      <c r="A15" s="2" t="s">
        <v>71</v>
      </c>
      <c r="B15" s="3">
        <v>75</v>
      </c>
      <c r="C15" s="3"/>
      <c r="D15" s="3">
        <f t="shared" si="0"/>
        <v>-75</v>
      </c>
    </row>
    <row r="16" spans="1:4" ht="24" customHeight="1" x14ac:dyDescent="0.25">
      <c r="A16" s="4" t="s">
        <v>72</v>
      </c>
      <c r="B16" s="5">
        <v>90</v>
      </c>
      <c r="C16" s="5"/>
      <c r="D16" s="5">
        <f t="shared" si="0"/>
        <v>-90</v>
      </c>
    </row>
    <row r="17" spans="1:4" ht="24" customHeight="1" x14ac:dyDescent="0.25">
      <c r="A17" s="2" t="s">
        <v>73</v>
      </c>
      <c r="B17" s="3">
        <v>100</v>
      </c>
      <c r="C17" s="3"/>
      <c r="D17" s="3">
        <f t="shared" si="0"/>
        <v>-100</v>
      </c>
    </row>
    <row r="19" spans="1:4" x14ac:dyDescent="0.25">
      <c r="A19" s="15" t="s">
        <v>18</v>
      </c>
      <c r="B19" s="16"/>
      <c r="C19" s="16"/>
      <c r="D19" s="16"/>
    </row>
  </sheetData>
  <mergeCells count="2">
    <mergeCell ref="A1:D1"/>
    <mergeCell ref="A19:D19"/>
  </mergeCell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11"/>
  <sheetViews>
    <sheetView rightToLeft="1" zoomScale="115" zoomScaleNormal="115" workbookViewId="0">
      <selection activeCell="F5" sqref="F5"/>
    </sheetView>
  </sheetViews>
  <sheetFormatPr defaultRowHeight="15" x14ac:dyDescent="0.25"/>
  <cols>
    <col min="1" max="1" width="8" customWidth="1"/>
    <col min="2" max="2" width="27.28515625" bestFit="1" customWidth="1"/>
    <col min="3" max="3" width="12" customWidth="1"/>
    <col min="4" max="5" width="14" customWidth="1"/>
    <col min="6" max="7" width="16" customWidth="1"/>
    <col min="8" max="8" width="12" customWidth="1"/>
  </cols>
  <sheetData>
    <row r="1" spans="1:8" ht="26.1" customHeight="1" x14ac:dyDescent="0.25">
      <c r="A1" s="14" t="s">
        <v>35</v>
      </c>
      <c r="B1" s="14"/>
      <c r="C1" s="14"/>
      <c r="D1" s="14"/>
      <c r="E1" s="14"/>
      <c r="F1" s="14"/>
      <c r="G1" s="14"/>
      <c r="H1" s="14"/>
    </row>
    <row r="3" spans="1:8" ht="30" customHeight="1" x14ac:dyDescent="0.25">
      <c r="A3" s="1" t="s">
        <v>19</v>
      </c>
      <c r="B3" s="1" t="s">
        <v>20</v>
      </c>
      <c r="C3" s="1" t="s">
        <v>21</v>
      </c>
      <c r="D3" s="1" t="s">
        <v>6</v>
      </c>
      <c r="E3" s="1" t="s">
        <v>22</v>
      </c>
      <c r="F3" s="1" t="s">
        <v>38</v>
      </c>
      <c r="G3" s="1" t="s">
        <v>37</v>
      </c>
      <c r="H3" s="1" t="s">
        <v>12</v>
      </c>
    </row>
    <row r="4" spans="1:8" ht="24" customHeight="1" x14ac:dyDescent="0.25">
      <c r="A4" s="3">
        <v>1</v>
      </c>
      <c r="B4" s="12" t="s">
        <v>74</v>
      </c>
      <c r="C4" s="3">
        <v>20</v>
      </c>
      <c r="D4" s="11" t="s">
        <v>32</v>
      </c>
      <c r="E4" s="11" t="s">
        <v>23</v>
      </c>
      <c r="F4" s="3">
        <v>100</v>
      </c>
      <c r="G4" s="3">
        <v>100</v>
      </c>
      <c r="H4" s="3" t="str">
        <f>IFERROR(IF(G4/F4&lt;0.7,"ضعیف",IF(G4/F4&lt;0.9,"متوسط","خوب")),"نامشخص")</f>
        <v>خوب</v>
      </c>
    </row>
    <row r="5" spans="1:8" ht="24" customHeight="1" x14ac:dyDescent="0.25">
      <c r="A5" s="5">
        <v>2</v>
      </c>
      <c r="B5" s="13" t="s">
        <v>75</v>
      </c>
      <c r="C5" s="5">
        <v>30</v>
      </c>
      <c r="D5" s="10" t="s">
        <v>79</v>
      </c>
      <c r="E5" s="10" t="s">
        <v>80</v>
      </c>
      <c r="F5" s="5">
        <v>50</v>
      </c>
      <c r="G5" s="5">
        <v>50</v>
      </c>
      <c r="H5" s="5" t="str">
        <f t="shared" ref="H5:H8" si="0">IFERROR(IF(G5/F5&lt;0.7,"ضعیف",IF(G5/F5&lt;0.9,"متوسط","خوب")),"نامشخص")</f>
        <v>خوب</v>
      </c>
    </row>
    <row r="6" spans="1:8" ht="24" customHeight="1" x14ac:dyDescent="0.25">
      <c r="A6" s="3">
        <v>3</v>
      </c>
      <c r="B6" s="12" t="s">
        <v>76</v>
      </c>
      <c r="C6" s="3">
        <v>20</v>
      </c>
      <c r="D6" s="11" t="s">
        <v>81</v>
      </c>
      <c r="E6" s="11" t="s">
        <v>82</v>
      </c>
      <c r="F6" s="3">
        <v>0</v>
      </c>
      <c r="G6" s="3">
        <v>0</v>
      </c>
      <c r="H6" s="3" t="str">
        <f t="shared" si="0"/>
        <v>نامشخص</v>
      </c>
    </row>
    <row r="7" spans="1:8" ht="24" customHeight="1" x14ac:dyDescent="0.25">
      <c r="A7" s="5">
        <v>4</v>
      </c>
      <c r="B7" s="13" t="s">
        <v>77</v>
      </c>
      <c r="C7" s="5">
        <v>20</v>
      </c>
      <c r="D7" s="10" t="s">
        <v>83</v>
      </c>
      <c r="E7" s="10" t="s">
        <v>56</v>
      </c>
      <c r="F7" s="5">
        <v>0</v>
      </c>
      <c r="G7" s="5">
        <v>0</v>
      </c>
      <c r="H7" s="5" t="str">
        <f t="shared" si="0"/>
        <v>نامشخص</v>
      </c>
    </row>
    <row r="8" spans="1:8" ht="24" customHeight="1" x14ac:dyDescent="0.25">
      <c r="A8" s="3">
        <v>5</v>
      </c>
      <c r="B8" s="12" t="s">
        <v>78</v>
      </c>
      <c r="C8" s="3">
        <v>10</v>
      </c>
      <c r="D8" s="11" t="s">
        <v>84</v>
      </c>
      <c r="E8" s="11" t="s">
        <v>56</v>
      </c>
      <c r="F8" s="3">
        <v>0</v>
      </c>
      <c r="G8" s="3">
        <v>0</v>
      </c>
      <c r="H8" s="3" t="str">
        <f t="shared" si="0"/>
        <v>نامشخص</v>
      </c>
    </row>
    <row r="10" spans="1:8" ht="27" customHeight="1" x14ac:dyDescent="0.25">
      <c r="A10" s="15" t="s">
        <v>49</v>
      </c>
      <c r="B10" s="16"/>
      <c r="C10" s="16"/>
      <c r="D10" s="16"/>
      <c r="E10" s="16"/>
      <c r="F10" s="16"/>
      <c r="G10" s="16"/>
      <c r="H10" s="16"/>
    </row>
    <row r="11" spans="1:8" x14ac:dyDescent="0.25">
      <c r="F11">
        <f>SUMPRODUCT(F4:F8,$C$4:$C$8)/100</f>
        <v>35</v>
      </c>
      <c r="G11">
        <f>SUMPRODUCT(G4:G8,$C$4:$C$8)/100</f>
        <v>35</v>
      </c>
    </row>
  </sheetData>
  <mergeCells count="2">
    <mergeCell ref="A1:H1"/>
    <mergeCell ref="A10:H10"/>
  </mergeCell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8"/>
  <sheetViews>
    <sheetView rightToLeft="1" topLeftCell="A2" workbookViewId="0">
      <selection activeCell="B12" sqref="B12"/>
    </sheetView>
  </sheetViews>
  <sheetFormatPr defaultRowHeight="15" x14ac:dyDescent="0.25"/>
  <cols>
    <col min="1" max="1" width="8" customWidth="1"/>
    <col min="2" max="2" width="30" customWidth="1"/>
    <col min="3" max="3" width="12" customWidth="1"/>
    <col min="4" max="4" width="14" customWidth="1"/>
    <col min="5" max="5" width="34" customWidth="1"/>
    <col min="6" max="6" width="18" customWidth="1"/>
  </cols>
  <sheetData>
    <row r="1" spans="1:6" ht="26.1" customHeight="1" x14ac:dyDescent="0.25">
      <c r="A1" s="14" t="s">
        <v>36</v>
      </c>
      <c r="B1" s="14"/>
      <c r="C1" s="14"/>
      <c r="D1" s="14"/>
      <c r="E1" s="14"/>
      <c r="F1" s="14"/>
    </row>
    <row r="3" spans="1:6" ht="30" customHeight="1" x14ac:dyDescent="0.25">
      <c r="A3" s="1" t="s">
        <v>19</v>
      </c>
      <c r="B3" s="1" t="s">
        <v>24</v>
      </c>
      <c r="C3" s="1" t="s">
        <v>25</v>
      </c>
      <c r="D3" s="1" t="s">
        <v>26</v>
      </c>
      <c r="E3" s="1" t="s">
        <v>27</v>
      </c>
      <c r="F3" s="1" t="s">
        <v>28</v>
      </c>
    </row>
    <row r="4" spans="1:6" ht="24" customHeight="1" x14ac:dyDescent="0.25">
      <c r="A4" s="2">
        <v>1</v>
      </c>
      <c r="B4" s="3" t="s">
        <v>33</v>
      </c>
      <c r="C4" s="3" t="s">
        <v>13</v>
      </c>
      <c r="D4" s="3" t="s">
        <v>13</v>
      </c>
      <c r="E4" s="3" t="s">
        <v>85</v>
      </c>
      <c r="F4" s="3" t="s">
        <v>55</v>
      </c>
    </row>
    <row r="5" spans="1:6" ht="24" customHeight="1" x14ac:dyDescent="0.25">
      <c r="A5" s="4">
        <v>2</v>
      </c>
      <c r="B5" s="5" t="s">
        <v>86</v>
      </c>
      <c r="C5" s="5" t="s">
        <v>44</v>
      </c>
      <c r="D5" s="5" t="s">
        <v>13</v>
      </c>
      <c r="E5" s="5" t="s">
        <v>87</v>
      </c>
      <c r="F5" s="5" t="s">
        <v>55</v>
      </c>
    </row>
    <row r="6" spans="1:6" ht="24" customHeight="1" x14ac:dyDescent="0.25">
      <c r="A6" s="2"/>
    </row>
    <row r="8" spans="1:6" x14ac:dyDescent="0.25">
      <c r="A8" s="15" t="s">
        <v>53</v>
      </c>
      <c r="B8" s="16"/>
      <c r="C8" s="16"/>
      <c r="D8" s="16"/>
      <c r="E8" s="16"/>
      <c r="F8" s="16"/>
    </row>
  </sheetData>
  <mergeCells count="2">
    <mergeCell ref="A8:F8"/>
    <mergeCell ref="A1:F1"/>
  </mergeCells>
  <dataValidations count="2">
    <dataValidation type="list" allowBlank="1" showInputMessage="1" showErrorMessage="1" sqref="C4:C5" xr:uid="{00000000-0002-0000-0300-000000000000}">
      <formula1>"بسیار بالا,بالا,متوسط,پایین"</formula1>
    </dataValidation>
    <dataValidation type="list" allowBlank="1" showInputMessage="1" showErrorMessage="1" sqref="D4:D5" xr:uid="{00000000-0002-0000-0300-000001000000}">
      <formula1>"بالا,متوسط,پایین"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8"/>
  <sheetViews>
    <sheetView rightToLeft="1" workbookViewId="0">
      <selection activeCell="F4" sqref="F4"/>
    </sheetView>
  </sheetViews>
  <sheetFormatPr defaultRowHeight="15" x14ac:dyDescent="0.25"/>
  <cols>
    <col min="1" max="1" width="8" customWidth="1"/>
    <col min="2" max="2" width="22" customWidth="1"/>
    <col min="3" max="3" width="38" customWidth="1"/>
    <col min="4" max="4" width="18" customWidth="1"/>
    <col min="5" max="5" width="14" customWidth="1"/>
    <col min="6" max="6" width="16" customWidth="1"/>
  </cols>
  <sheetData>
    <row r="1" spans="1:6" ht="26.1" customHeight="1" x14ac:dyDescent="0.25">
      <c r="A1" s="14" t="s">
        <v>51</v>
      </c>
      <c r="B1" s="14"/>
      <c r="C1" s="14"/>
      <c r="D1" s="14"/>
      <c r="E1" s="14"/>
      <c r="F1" s="14"/>
    </row>
    <row r="3" spans="1:6" ht="30" customHeight="1" x14ac:dyDescent="0.25">
      <c r="A3" s="1" t="s">
        <v>19</v>
      </c>
      <c r="B3" s="1" t="s">
        <v>29</v>
      </c>
      <c r="C3" s="1" t="s">
        <v>30</v>
      </c>
      <c r="D3" s="1" t="s">
        <v>28</v>
      </c>
      <c r="E3" s="1" t="s">
        <v>31</v>
      </c>
      <c r="F3" s="1" t="s">
        <v>12</v>
      </c>
    </row>
    <row r="4" spans="1:6" ht="24" customHeight="1" x14ac:dyDescent="0.25">
      <c r="A4" s="2">
        <v>1</v>
      </c>
      <c r="B4" s="3"/>
      <c r="C4" s="3"/>
      <c r="D4" s="3"/>
      <c r="E4" s="3"/>
      <c r="F4" s="3" t="s">
        <v>45</v>
      </c>
    </row>
    <row r="5" spans="1:6" ht="24" customHeight="1" x14ac:dyDescent="0.25">
      <c r="A5" s="4">
        <v>2</v>
      </c>
      <c r="B5" s="5"/>
      <c r="C5" s="5"/>
      <c r="D5" s="5"/>
      <c r="E5" s="5"/>
      <c r="F5" s="5" t="s">
        <v>47</v>
      </c>
    </row>
    <row r="6" spans="1:6" ht="24" customHeight="1" x14ac:dyDescent="0.25">
      <c r="A6" s="2">
        <v>3</v>
      </c>
      <c r="B6" s="3"/>
      <c r="C6" s="3"/>
      <c r="D6" s="3"/>
      <c r="E6" s="3"/>
      <c r="F6" s="3" t="s">
        <v>48</v>
      </c>
    </row>
    <row r="8" spans="1:6" x14ac:dyDescent="0.25">
      <c r="A8" s="15" t="s">
        <v>46</v>
      </c>
      <c r="B8" s="16"/>
      <c r="C8" s="16"/>
      <c r="D8" s="16"/>
      <c r="E8" s="16"/>
      <c r="F8" s="16"/>
    </row>
  </sheetData>
  <mergeCells count="2">
    <mergeCell ref="A8:F8"/>
    <mergeCell ref="A1:F1"/>
  </mergeCells>
  <dataValidations count="1">
    <dataValidation type="list" allowBlank="1" showInputMessage="1" showErrorMessage="1" sqref="F4:F6" xr:uid="{00000000-0002-0000-0400-000000000000}">
      <formula1>"جدید,در حال اجرا,در انتظار گزارش,انجام شد,سایر"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اطلاعات پروژه</vt:lpstr>
      <vt:lpstr>پیشرفت ماهیانه</vt:lpstr>
      <vt:lpstr>فعالیت‌ها</vt:lpstr>
      <vt:lpstr>ریسک‌ها</vt:lpstr>
      <vt:lpstr>تصمیمات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Mahdi Majid</cp:lastModifiedBy>
  <dcterms:created xsi:type="dcterms:W3CDTF">2026-06-05T20:17:36Z</dcterms:created>
  <dcterms:modified xsi:type="dcterms:W3CDTF">2026-06-23T07:21:15Z</dcterms:modified>
</cp:coreProperties>
</file>